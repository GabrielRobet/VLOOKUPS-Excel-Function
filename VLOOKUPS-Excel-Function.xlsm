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ofp01\Luxembourg\Users\Home\Gabriel.Robet\Documents\_GitHub\VLOOKUPS-Excel-Function-main\"/>
    </mc:Choice>
  </mc:AlternateContent>
  <xr:revisionPtr revIDLastSave="0" documentId="13_ncr:1_{3449EC55-E2B2-4433-9923-746EB8C84DEB}" xr6:coauthVersionLast="47" xr6:coauthVersionMax="47" xr10:uidLastSave="{00000000-0000-0000-0000-000000000000}"/>
  <bookViews>
    <workbookView xWindow="19090" yWindow="-110" windowWidth="19420" windowHeight="10420" xr2:uid="{29B0A3A1-9E66-4959-9198-733034450113}"/>
  </bookViews>
  <sheets>
    <sheet name="Example" sheetId="2" r:id="rId1"/>
  </sheets>
  <functionGroups builtInGroupCount="19"/>
  <definedNames>
    <definedName name="_xlnm._FilterDatabase" localSheetId="0" hidden="1">Example!$B$2:$E$14</definedName>
    <definedName name="CIQWBGuid" hidden="1">"477037b1-be3c-4220-acd1-2df983e2132a"</definedName>
    <definedName name="IQ_ADDIN" hidden="1">"AUTO"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CAPEX_BR" hidden="1">"c111"</definedName>
    <definedName name="IQ_CH" hidden="1">110000</definedName>
    <definedName name="IQ_CHANGE_AP_BR" hidden="1">"c135"</definedName>
    <definedName name="IQ_CHANGE_AR_BR" hidden="1">"c142"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Q" hidden="1">5000</definedName>
    <definedName name="IQ_CURRENCY_GAIN_BR" hidden="1">"c236"</definedName>
    <definedName name="IQ_CURRENT_PORT_DEBT_BR" hidden="1">"c1567"</definedName>
    <definedName name="IQ_CY" hidden="1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 hidden="1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T_BR" hidden="1">"c378"</definedName>
    <definedName name="IQ_EBT_EXCL_BR" hidden="1">"c381"</definedName>
    <definedName name="IQ_EXTRA_ACC_ITEMS_BR" hidden="1">"c412"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VEST_LOANS_CF_BR" hidden="1">"c630"</definedName>
    <definedName name="IQ_INVEST_SECURITY_CF_BR" hidden="1">"c639"</definedName>
    <definedName name="IQ_LATESTK" hidden="1">1000</definedName>
    <definedName name="IQ_LATESTQ" hidden="1">500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 hidden="1">2000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 hidden="1">15000</definedName>
    <definedName name="IQ_MTD" hidden="1">800000</definedName>
    <definedName name="IQ_NAMES_REVISION_DATE_" hidden="1">"05/05/2012 11:56:14"</definedName>
    <definedName name="IQ_NET_DEBT_ISSUED_BR" hidden="1">"c753"</definedName>
    <definedName name="IQ_NET_INT_INC_BR" hidden="1">"c765"</definedName>
    <definedName name="IQ_NTM" hidden="1">6000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REF_ISSUED_BR" hidden="1">"c1047"</definedName>
    <definedName name="IQ_PREF_OTHER_BR" hidden="1">"c1055"</definedName>
    <definedName name="IQ_PREF_REP_BR" hidden="1">"c1062"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 hidden="1">50000</definedName>
    <definedName name="IQ_YTD" hidden="1">3000</definedName>
    <definedName name="IQ_YTDMONTH" hidden="1">130000</definedName>
  </definedNames>
  <calcPr calcId="191029"/>
  <extLst>
    <ext xmlns:x14="http://schemas.microsoft.com/office/spreadsheetml/2009/9/main" uri="{8193D73E-4604-4355-AFF4-8A2333D13BE4}">
      <x14:definedNames>
        <x14:definedName name="XIRRIF">
          <x14:argumentDescriptions count="5">
            <x14:argumentDescription index="0">Amounts</x14:argumentDescription>
            <x14:argumentDescription index="1">Dates</x14:argumentDescription>
            <x14:argumentDescription index="2">Fund Names</x14:argumentDescription>
            <x14:argumentDescription index="3">Fund Name Condition</x14:argumentDescription>
            <x14:argumentDescription index="4">Guess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 a="1"/>
  <c r="I3" i="2" a="1"/>
  <c r="I3" i="2" l="1"/>
  <c r="I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<sst xmlns="http://schemas.openxmlformats.org/spreadsheetml/2006/main" count="63" uniqueCount="34">
  <si>
    <t>Fund I</t>
  </si>
  <si>
    <t>Fund II</t>
  </si>
  <si>
    <t>Fund III</t>
  </si>
  <si>
    <t>Fund IV</t>
  </si>
  <si>
    <t>Fund</t>
  </si>
  <si>
    <t>Region</t>
  </si>
  <si>
    <t>Equity</t>
  </si>
  <si>
    <t>EU</t>
  </si>
  <si>
    <t>US</t>
  </si>
  <si>
    <t>RoW</t>
  </si>
  <si>
    <t>Deal A</t>
  </si>
  <si>
    <t>Deal B</t>
  </si>
  <si>
    <t>Deal C</t>
  </si>
  <si>
    <t>10 MM USD</t>
  </si>
  <si>
    <t>15 MM USD</t>
  </si>
  <si>
    <t>20 MM USD</t>
  </si>
  <si>
    <t>25 MM USD</t>
  </si>
  <si>
    <t>30 MM USD</t>
  </si>
  <si>
    <t>35 MM USD</t>
  </si>
  <si>
    <t>40 MM USD</t>
  </si>
  <si>
    <t>45 MM USD</t>
  </si>
  <si>
    <t>50 MM USD</t>
  </si>
  <si>
    <t>55 MM USD</t>
  </si>
  <si>
    <t>60 MM USD</t>
  </si>
  <si>
    <t>65 MM USD</t>
  </si>
  <si>
    <t>Deal</t>
  </si>
  <si>
    <t xml:space="preserve">Find Value - Col. Index : </t>
  </si>
  <si>
    <t xml:space="preserve">Lookup Value 2 - Col. Index : </t>
  </si>
  <si>
    <t xml:space="preserve">Lookup Value 2 : </t>
  </si>
  <si>
    <t xml:space="preserve">Lookup Value 1 - Col. Index : </t>
  </si>
  <si>
    <t xml:space="preserve">Lookup Value 1 : </t>
  </si>
  <si>
    <t xml:space="preserve">VLOOKUPS Function : </t>
  </si>
  <si>
    <t xml:space="preserve"> =VLOOKUPS(B3:E14,"Fund III",1,"Deal B",2,4)</t>
  </si>
  <si>
    <t xml:space="preserve"> =VLOOKUPS(B3:E14,I6,I7,I8,I9,I10)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</si>
</sst>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4" x14ac:knownFonts="1"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NumberFormat="1" applyFont="1" applyAlignment="1">
      <alignment horizontal="center" wrapText="1"/>
    </xf>
    <xf numFmtId="0" fontId="2" fillId="0" borderId="0" xfId="0" applyNumberFormat="1" applyFont="1" applyAlignment="1"/>
    <xf numFmtId="164" fontId="2" fillId="0" borderId="0" xfId="0" applyNumberFormat="1" applyFont="1" applyAlignment="1"/>
    <xf numFmtId="0" fontId="2" fillId="5" borderId="1" xfId="0" applyNumberFormat="1" applyFont="1" applyFill="1" applyBorder="1" applyAlignment="1">
      <alignment wrapText="1"/>
    </xf>
    <xf numFmtId="0" fontId="1" fillId="4" borderId="2" xfId="0" applyNumberFormat="1" applyFont="1" applyFill="1" applyBorder="1" applyAlignment="1">
      <alignment horizontal="center" wrapText="1"/>
    </xf>
    <xf numFmtId="164" fontId="1" fillId="4" borderId="2" xfId="0" applyNumberFormat="1" applyFont="1" applyFill="1" applyBorder="1" applyAlignment="1">
      <alignment horizontal="center" wrapText="1"/>
    </xf>
    <xf numFmtId="0" fontId="2" fillId="3" borderId="2" xfId="0" applyNumberFormat="1" applyFont="1" applyFill="1" applyBorder="1" applyAlignment="1"/>
    <xf numFmtId="164" fontId="2" fillId="3" borderId="2" xfId="0" applyNumberFormat="1" applyFont="1" applyFill="1" applyBorder="1" applyAlignment="1"/>
    <xf numFmtId="0" fontId="1" fillId="2" borderId="1" xfId="0" applyNumberFormat="1" applyFont="1" applyFill="1" applyBorder="1" applyAlignment="1">
      <alignment wrapText="1"/>
    </xf>
    <xf numFmtId="0" fontId="2" fillId="0" borderId="0" xfId="0" applyNumberFormat="1" applyFont="1" applyFill="1" applyAlignment="1"/>
    <xf numFmtId="0" fontId="1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3" fillId="0" borderId="0" xfId="0" quotePrefix="1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5D2B5-1A6B-4AD0-8A65-9FCC76D0046E}">
  <sheetPr codeName="Sheet2"/>
  <dimension ref="B2:M14"/>
  <sheetViews>
    <sheetView tabSelected="1" workbookViewId="0"/>
  </sheetViews>
  <sheetFormatPr defaultColWidth="10.6328125" defaultRowHeight="15.5" x14ac:dyDescent="0.35"/>
  <cols>
    <col min="1" max="1" width="10.6328125" style="2" customWidth="1"/>
    <col min="2" max="4" width="13.6328125" style="2" customWidth="1"/>
    <col min="5" max="5" width="13.6328125" style="3" customWidth="1"/>
    <col min="6" max="7" width="10.6328125" style="2"/>
    <col min="8" max="8" width="10.6328125" style="10" customWidth="1"/>
    <col min="9" max="9" width="13.6328125" style="2" customWidth="1"/>
    <col min="10" max="16384" width="10.6328125" style="2"/>
  </cols>
  <sheetData>
    <row r="2" spans="2:13" s="1" customFormat="1" x14ac:dyDescent="0.35">
      <c r="B2" s="5" t="s">
        <v>4</v>
      </c>
      <c r="C2" s="5" t="s">
        <v>25</v>
      </c>
      <c r="D2" s="5" t="s">
        <v>5</v>
      </c>
      <c r="E2" s="6" t="s">
        <v>6</v>
      </c>
      <c r="G2" s="2"/>
      <c r="H2" s="10"/>
      <c r="I2" s="2"/>
      <c r="J2" s="2"/>
      <c r="K2" s="2"/>
      <c r="L2" s="2"/>
      <c r="M2" s="2"/>
    </row>
    <row r="3" spans="2:13" x14ac:dyDescent="0.35">
      <c r="B3" s="7" t="s">
        <v>0</v>
      </c>
      <c r="C3" s="7" t="s">
        <v>10</v>
      </c>
      <c r="D3" s="7" t="s">
        <v>7</v>
      </c>
      <c r="E3" s="8" t="s">
        <v>13</v>
      </c>
      <c r="H3" s="11" t="s">
        <v>31</v>
      </c>
      <c r="I3" s="9" t="str" cm="1">
        <f t="array" ref="I3">VLOOKUPS(B3:E14,"Fund III",1,"Deal B",2,4)</f>
        <v>45 MM USD</v>
      </c>
      <c r="J3" s="13" t="s">
        <v>32</v>
      </c>
    </row>
    <row r="4" spans="2:13" x14ac:dyDescent="0.35">
      <c r="B4" s="7" t="s">
        <v>0</v>
      </c>
      <c r="C4" s="7" t="s">
        <v>11</v>
      </c>
      <c r="D4" s="7" t="s">
        <v>8</v>
      </c>
      <c r="E4" s="8" t="s">
        <v>14</v>
      </c>
      <c r="H4" s="12"/>
    </row>
    <row r="5" spans="2:13" x14ac:dyDescent="0.35">
      <c r="B5" s="7" t="s">
        <v>0</v>
      </c>
      <c r="C5" s="7" t="s">
        <v>12</v>
      </c>
      <c r="D5" s="7" t="s">
        <v>9</v>
      </c>
      <c r="E5" s="8" t="s">
        <v>15</v>
      </c>
      <c r="H5" s="11" t="s">
        <v>31</v>
      </c>
      <c r="I5" s="9" t="str" cm="1">
        <f t="array" ref="I5">VLOOKUPS(B3:E14,I6,I7,I8,I9,I10)</f>
        <v>45 MM USD</v>
      </c>
      <c r="J5" s="13" t="s">
        <v>33</v>
      </c>
    </row>
    <row r="6" spans="2:13" x14ac:dyDescent="0.35">
      <c r="B6" s="7" t="s">
        <v>1</v>
      </c>
      <c r="C6" s="7" t="s">
        <v>10</v>
      </c>
      <c r="D6" s="7" t="s">
        <v>7</v>
      </c>
      <c r="E6" s="8" t="s">
        <v>16</v>
      </c>
      <c r="H6" s="12" t="s">
        <v>30</v>
      </c>
      <c r="I6" s="4" t="s">
        <v>2</v>
      </c>
    </row>
    <row r="7" spans="2:13" x14ac:dyDescent="0.35">
      <c r="B7" s="7" t="s">
        <v>1</v>
      </c>
      <c r="C7" s="7" t="s">
        <v>11</v>
      </c>
      <c r="D7" s="7" t="s">
        <v>8</v>
      </c>
      <c r="E7" s="8" t="s">
        <v>17</v>
      </c>
      <c r="H7" s="12" t="s">
        <v>29</v>
      </c>
      <c r="I7" s="4">
        <v>1</v>
      </c>
    </row>
    <row r="8" spans="2:13" x14ac:dyDescent="0.35">
      <c r="B8" s="7" t="s">
        <v>1</v>
      </c>
      <c r="C8" s="7" t="s">
        <v>12</v>
      </c>
      <c r="D8" s="7" t="s">
        <v>9</v>
      </c>
      <c r="E8" s="8" t="s">
        <v>18</v>
      </c>
      <c r="H8" s="12" t="s">
        <v>28</v>
      </c>
      <c r="I8" s="4" t="s">
        <v>11</v>
      </c>
    </row>
    <row r="9" spans="2:13" x14ac:dyDescent="0.35">
      <c r="B9" s="7" t="s">
        <v>2</v>
      </c>
      <c r="C9" s="7" t="s">
        <v>10</v>
      </c>
      <c r="D9" s="7" t="s">
        <v>7</v>
      </c>
      <c r="E9" s="8" t="s">
        <v>19</v>
      </c>
      <c r="H9" s="12" t="s">
        <v>27</v>
      </c>
      <c r="I9" s="4">
        <v>2</v>
      </c>
    </row>
    <row r="10" spans="2:13" x14ac:dyDescent="0.35">
      <c r="B10" s="7" t="s">
        <v>2</v>
      </c>
      <c r="C10" s="7" t="s">
        <v>11</v>
      </c>
      <c r="D10" s="7" t="s">
        <v>8</v>
      </c>
      <c r="E10" s="8" t="s">
        <v>20</v>
      </c>
      <c r="H10" s="12" t="s">
        <v>26</v>
      </c>
      <c r="I10" s="4">
        <v>4</v>
      </c>
    </row>
    <row r="11" spans="2:13" x14ac:dyDescent="0.35">
      <c r="B11" s="7" t="s">
        <v>2</v>
      </c>
      <c r="C11" s="7" t="s">
        <v>12</v>
      </c>
      <c r="D11" s="7" t="s">
        <v>9</v>
      </c>
      <c r="E11" s="8" t="s">
        <v>21</v>
      </c>
    </row>
    <row r="12" spans="2:13" x14ac:dyDescent="0.35">
      <c r="B12" s="7" t="s">
        <v>3</v>
      </c>
      <c r="C12" s="7" t="s">
        <v>10</v>
      </c>
      <c r="D12" s="7" t="s">
        <v>7</v>
      </c>
      <c r="E12" s="8" t="s">
        <v>22</v>
      </c>
    </row>
    <row r="13" spans="2:13" x14ac:dyDescent="0.35">
      <c r="B13" s="7" t="s">
        <v>3</v>
      </c>
      <c r="C13" s="7" t="s">
        <v>11</v>
      </c>
      <c r="D13" s="7" t="s">
        <v>8</v>
      </c>
      <c r="E13" s="8" t="s">
        <v>23</v>
      </c>
    </row>
    <row r="14" spans="2:13" x14ac:dyDescent="0.35">
      <c r="B14" s="7" t="s">
        <v>3</v>
      </c>
      <c r="C14" s="7" t="s">
        <v>12</v>
      </c>
      <c r="D14" s="7" t="s">
        <v>9</v>
      </c>
      <c r="E14" s="8" t="s">
        <v>24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Robet</dc:creator>
  <cp:lastModifiedBy>Gabriel Robet</cp:lastModifiedBy>
  <dcterms:created xsi:type="dcterms:W3CDTF">2021-07-05T19:06:28Z</dcterms:created>
  <dcterms:modified xsi:type="dcterms:W3CDTF">2022-02-25T16:18:28Z</dcterms:modified>
</cp:coreProperties>
</file>